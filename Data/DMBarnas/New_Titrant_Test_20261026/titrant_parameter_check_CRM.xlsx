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trator\Data\DMBarnas\New_Titrant_Test_20261026\"/>
    </mc:Choice>
  </mc:AlternateContent>
  <xr:revisionPtr revIDLastSave="0" documentId="8_{925E1A29-4D63-48C8-B93A-D70501D02D73}" xr6:coauthVersionLast="47" xr6:coauthVersionMax="47" xr10:uidLastSave="{00000000-0000-0000-0000-000000000000}"/>
  <bookViews>
    <workbookView xWindow="11610" yWindow="120" windowWidth="17145" windowHeight="15480" xr2:uid="{79A4D6A9-CD2C-4D34-A863-7CF8F5B96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5" i="1" l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6" i="1"/>
  <c r="G7" i="1"/>
  <c r="G8" i="1"/>
  <c r="G9" i="1"/>
  <c r="G5" i="1"/>
  <c r="G4" i="1"/>
  <c r="G3" i="1"/>
  <c r="G2" i="1"/>
</calcChain>
</file>

<file path=xl/sharedStrings.xml><?xml version="1.0" encoding="utf-8"?>
<sst xmlns="http://schemas.openxmlformats.org/spreadsheetml/2006/main" count="143" uniqueCount="33">
  <si>
    <t>SampleID</t>
  </si>
  <si>
    <t>TA_original</t>
  </si>
  <si>
    <t>Mass</t>
  </si>
  <si>
    <t>Junk1</t>
  </si>
  <si>
    <t>Junk2</t>
  </si>
  <si>
    <t>Junk3</t>
  </si>
  <si>
    <t>CRM</t>
  </si>
  <si>
    <t>run_date</t>
  </si>
  <si>
    <t>c</t>
  </si>
  <si>
    <t>notes</t>
  </si>
  <si>
    <t>d</t>
  </si>
  <si>
    <t>TA_new</t>
  </si>
  <si>
    <t>c from 9/7/2021; d from 7/22/2021</t>
  </si>
  <si>
    <t>(-0.0000040*mean(Data$Temperature[mV], na.rm=T)^2-0.0001108*mean(Data$Temperature[mV], na.rm=T)+1.02878)</t>
  </si>
  <si>
    <t>% off</t>
  </si>
  <si>
    <t>salinity</t>
  </si>
  <si>
    <t>(-0.00000410*mean(Data$Temperature[mV], na.rm=T)^2-0.0001069*mean(Data$Temperature[mV], na.rm=T)+1.02888)</t>
  </si>
  <si>
    <t>c from 9/7/2021; d from 3/12/2020</t>
  </si>
  <si>
    <t>c from 10/5/2021; d from 3/12/2020</t>
  </si>
  <si>
    <t>c from 10/5/2021; d from 7/22/2021</t>
  </si>
  <si>
    <t>test.run</t>
  </si>
  <si>
    <t>junk1</t>
  </si>
  <si>
    <t>junk2</t>
  </si>
  <si>
    <t>junk3</t>
  </si>
  <si>
    <t>(-0.0000040*mean(Data$Temperature[mV], na.rm=T)^2-0.0001103*mean(Data$Temperature[mV], na.rm=T)+1.02893)</t>
  </si>
  <si>
    <t>c from 8/16/2023; d from 8/29/2023</t>
  </si>
  <si>
    <t>c from 8/29/2023; d from 8/29/2023</t>
  </si>
  <si>
    <t>j1</t>
  </si>
  <si>
    <t>j2</t>
  </si>
  <si>
    <t>j3</t>
  </si>
  <si>
    <t>(-0.00000410*mean(Data$Temperature[mV], na.rm=T)^2-0.0001065*mean(Data$Temperature[mV], na.rm=T)+1.02884)</t>
  </si>
  <si>
    <t>c from 11/27/2019; d from 3/8/2018</t>
  </si>
  <si>
    <t>c is a test value; d from 3/8/2018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</si>
</sst>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D37B-E20C-4AA3-82A5-C8D2D3C9E333}">
  <dimension ref="A1:K45"/>
  <sheetViews>
    <sheetView tabSelected="1" topLeftCell="A16" workbookViewId="0">
      <selection activeCell="J36" sqref="J36"/>
    </sheetView>
  </sheetViews>
  <sheetFormatPr defaultRowHeight="15" x14ac:dyDescent="0.25"/>
  <cols>
    <col min="1" max="2" width="11.7109375" customWidth="1"/>
    <col min="10" max="10" width="10.5703125" customWidth="1"/>
  </cols>
  <sheetData>
    <row r="1" spans="1:11" x14ac:dyDescent="0.25">
      <c r="A1" t="s">
        <v>7</v>
      </c>
      <c r="B1" t="s">
        <v>20</v>
      </c>
      <c r="C1" t="s">
        <v>0</v>
      </c>
      <c r="D1" t="s">
        <v>1</v>
      </c>
      <c r="E1" t="s">
        <v>2</v>
      </c>
      <c r="F1" t="s">
        <v>11</v>
      </c>
      <c r="G1" t="s">
        <v>14</v>
      </c>
      <c r="H1" t="s">
        <v>15</v>
      </c>
      <c r="I1" t="s">
        <v>8</v>
      </c>
      <c r="J1" t="s">
        <v>10</v>
      </c>
      <c r="K1" t="s">
        <v>9</v>
      </c>
    </row>
    <row r="2" spans="1:11" x14ac:dyDescent="0.25">
      <c r="A2" s="1">
        <v>44484</v>
      </c>
      <c r="B2" s="2">
        <v>1</v>
      </c>
      <c r="C2" t="s">
        <v>3</v>
      </c>
      <c r="D2">
        <v>2339.19694405771</v>
      </c>
      <c r="E2">
        <v>60.033700000000003</v>
      </c>
      <c r="F2">
        <v>2374.8680443071198</v>
      </c>
      <c r="G2">
        <f>100*(F2-D2)/D2</f>
        <v>1.5249293284186938</v>
      </c>
      <c r="H2">
        <v>34</v>
      </c>
      <c r="I2">
        <v>0.10001</v>
      </c>
      <c r="J2" t="s">
        <v>13</v>
      </c>
      <c r="K2" t="s">
        <v>12</v>
      </c>
    </row>
    <row r="3" spans="1:11" x14ac:dyDescent="0.25">
      <c r="A3" s="1">
        <v>44484</v>
      </c>
      <c r="B3" s="2">
        <v>1</v>
      </c>
      <c r="C3" t="s">
        <v>4</v>
      </c>
      <c r="D3">
        <v>2318.59818310024</v>
      </c>
      <c r="E3">
        <v>59.7652</v>
      </c>
      <c r="F3">
        <v>2349.96404694693</v>
      </c>
      <c r="G3">
        <f>100*(F3-D3)/D3</f>
        <v>1.3527942907619344</v>
      </c>
      <c r="H3">
        <v>34</v>
      </c>
      <c r="I3">
        <v>0.10001</v>
      </c>
      <c r="J3" t="s">
        <v>13</v>
      </c>
      <c r="K3" t="s">
        <v>12</v>
      </c>
    </row>
    <row r="4" spans="1:11" x14ac:dyDescent="0.25">
      <c r="A4" s="1">
        <v>44484</v>
      </c>
      <c r="B4" s="2">
        <v>1</v>
      </c>
      <c r="C4" t="s">
        <v>5</v>
      </c>
      <c r="D4">
        <v>2315.5535576627199</v>
      </c>
      <c r="E4">
        <v>59.9405</v>
      </c>
      <c r="F4">
        <v>2345.5284531020002</v>
      </c>
      <c r="G4">
        <f>100*(F4-D4)/D4</f>
        <v>1.2945023594935314</v>
      </c>
      <c r="H4">
        <v>34</v>
      </c>
      <c r="I4">
        <v>0.10001</v>
      </c>
      <c r="J4" t="s">
        <v>13</v>
      </c>
      <c r="K4" t="s">
        <v>12</v>
      </c>
    </row>
    <row r="5" spans="1:11" x14ac:dyDescent="0.25">
      <c r="A5" s="1">
        <v>44484</v>
      </c>
      <c r="B5" s="2">
        <v>1</v>
      </c>
      <c r="C5" t="s">
        <v>6</v>
      </c>
      <c r="D5">
        <v>2213.74048396745</v>
      </c>
      <c r="E5">
        <v>59.9773</v>
      </c>
      <c r="F5">
        <v>2243.2929545277502</v>
      </c>
      <c r="G5">
        <f>100*(F5-D5)/D5</f>
        <v>1.3349564131083911</v>
      </c>
      <c r="H5">
        <v>34</v>
      </c>
      <c r="I5">
        <v>0.10001</v>
      </c>
      <c r="J5" t="s">
        <v>13</v>
      </c>
      <c r="K5" t="s">
        <v>12</v>
      </c>
    </row>
    <row r="6" spans="1:11" x14ac:dyDescent="0.25">
      <c r="A6" s="1">
        <v>44484</v>
      </c>
      <c r="B6" s="2">
        <v>2</v>
      </c>
      <c r="C6" t="s">
        <v>3</v>
      </c>
      <c r="D6">
        <v>2339.19694405771</v>
      </c>
      <c r="E6">
        <v>60.033700000000003</v>
      </c>
      <c r="F6">
        <v>2375.1698124091199</v>
      </c>
      <c r="G6">
        <f>100*(F6-D6)/D6</f>
        <v>1.5378298284286089</v>
      </c>
      <c r="H6">
        <v>34</v>
      </c>
      <c r="I6">
        <v>0.10001</v>
      </c>
      <c r="J6" t="s">
        <v>16</v>
      </c>
      <c r="K6" t="s">
        <v>17</v>
      </c>
    </row>
    <row r="7" spans="1:11" x14ac:dyDescent="0.25">
      <c r="A7" s="1">
        <v>44484</v>
      </c>
      <c r="B7" s="2">
        <v>2</v>
      </c>
      <c r="C7" t="s">
        <v>4</v>
      </c>
      <c r="D7">
        <v>2318.59818310024</v>
      </c>
      <c r="E7">
        <v>59.7652</v>
      </c>
      <c r="F7">
        <v>2350.2623045690798</v>
      </c>
      <c r="G7">
        <f>100*(F7-D7)/D7</f>
        <v>1.365657995405702</v>
      </c>
      <c r="H7">
        <v>34</v>
      </c>
      <c r="I7">
        <v>0.10001</v>
      </c>
      <c r="J7" t="s">
        <v>16</v>
      </c>
      <c r="K7" t="s">
        <v>17</v>
      </c>
    </row>
    <row r="8" spans="1:11" x14ac:dyDescent="0.25">
      <c r="A8" s="1">
        <v>44484</v>
      </c>
      <c r="B8" s="2">
        <v>2</v>
      </c>
      <c r="C8" t="s">
        <v>5</v>
      </c>
      <c r="D8">
        <v>2315.5535576627199</v>
      </c>
      <c r="E8">
        <v>59.9405</v>
      </c>
      <c r="F8">
        <v>2345.8257541410399</v>
      </c>
      <c r="G8">
        <f>100*(F8-D8)/D8</f>
        <v>1.3073416668831543</v>
      </c>
      <c r="H8">
        <v>34</v>
      </c>
      <c r="I8">
        <v>0.10001</v>
      </c>
      <c r="J8" t="s">
        <v>16</v>
      </c>
      <c r="K8" t="s">
        <v>17</v>
      </c>
    </row>
    <row r="9" spans="1:11" x14ac:dyDescent="0.25">
      <c r="A9" s="1">
        <v>44484</v>
      </c>
      <c r="B9" s="2">
        <v>2</v>
      </c>
      <c r="C9" t="s">
        <v>6</v>
      </c>
      <c r="D9">
        <v>2213.74048396745</v>
      </c>
      <c r="E9">
        <v>59.9773</v>
      </c>
      <c r="F9">
        <v>2243.5765647456801</v>
      </c>
      <c r="G9">
        <f>100*(F9-D9)/D9</f>
        <v>1.3477677710784819</v>
      </c>
      <c r="H9">
        <v>34</v>
      </c>
      <c r="I9">
        <v>0.10001</v>
      </c>
      <c r="J9" t="s">
        <v>16</v>
      </c>
      <c r="K9" t="s">
        <v>17</v>
      </c>
    </row>
    <row r="10" spans="1:11" x14ac:dyDescent="0.25">
      <c r="A10" s="1">
        <v>44484</v>
      </c>
      <c r="B10" s="2">
        <v>3</v>
      </c>
      <c r="C10" t="s">
        <v>3</v>
      </c>
      <c r="D10">
        <v>2339.19694405771</v>
      </c>
      <c r="E10">
        <v>60.033700000000003</v>
      </c>
      <c r="F10">
        <v>2310.8825790347701</v>
      </c>
      <c r="G10">
        <f>100*(F10-D10)/D10</f>
        <v>-1.2104310026082767</v>
      </c>
      <c r="H10">
        <v>34</v>
      </c>
      <c r="I10">
        <v>9.7299999999999998E-2</v>
      </c>
      <c r="J10" t="s">
        <v>16</v>
      </c>
      <c r="K10" t="s">
        <v>18</v>
      </c>
    </row>
    <row r="11" spans="1:11" x14ac:dyDescent="0.25">
      <c r="A11" s="1">
        <v>44484</v>
      </c>
      <c r="B11" s="2">
        <v>3</v>
      </c>
      <c r="C11" t="s">
        <v>4</v>
      </c>
      <c r="D11">
        <v>2318.59818310024</v>
      </c>
      <c r="E11">
        <v>59.7652</v>
      </c>
      <c r="F11">
        <v>2286.65031870645</v>
      </c>
      <c r="G11">
        <f>100*(F11-D11)/D11</f>
        <v>-1.3778956882935174</v>
      </c>
      <c r="H11">
        <v>34</v>
      </c>
      <c r="I11">
        <v>9.7299999999999998E-2</v>
      </c>
      <c r="J11" t="s">
        <v>16</v>
      </c>
      <c r="K11" t="s">
        <v>18</v>
      </c>
    </row>
    <row r="12" spans="1:11" x14ac:dyDescent="0.25">
      <c r="A12" s="1">
        <v>44484</v>
      </c>
      <c r="B12" s="2">
        <v>3</v>
      </c>
      <c r="C12" t="s">
        <v>5</v>
      </c>
      <c r="D12">
        <v>2315.5535576627199</v>
      </c>
      <c r="E12">
        <v>59.9405</v>
      </c>
      <c r="F12">
        <v>2282.33499993646</v>
      </c>
      <c r="G12">
        <f>100*(F12-D12)/D12</f>
        <v>-1.434583865112155</v>
      </c>
      <c r="H12">
        <v>34</v>
      </c>
      <c r="I12">
        <v>9.7299999999999998E-2</v>
      </c>
      <c r="J12" t="s">
        <v>16</v>
      </c>
      <c r="K12" t="s">
        <v>18</v>
      </c>
    </row>
    <row r="13" spans="1:11" x14ac:dyDescent="0.25">
      <c r="A13" s="1">
        <v>44484</v>
      </c>
      <c r="B13" s="2">
        <v>3</v>
      </c>
      <c r="C13" t="s">
        <v>6</v>
      </c>
      <c r="D13">
        <v>2213.74048396745</v>
      </c>
      <c r="E13">
        <v>59.9773</v>
      </c>
      <c r="F13">
        <v>2182.8562650209001</v>
      </c>
      <c r="G13">
        <f>100*(F13-D13)/D13</f>
        <v>-1.3951147015751122</v>
      </c>
      <c r="H13">
        <v>34</v>
      </c>
      <c r="I13">
        <v>9.7299999999999998E-2</v>
      </c>
      <c r="J13" t="s">
        <v>16</v>
      </c>
      <c r="K13" t="s">
        <v>18</v>
      </c>
    </row>
    <row r="14" spans="1:11" x14ac:dyDescent="0.25">
      <c r="A14" s="1">
        <v>44484</v>
      </c>
      <c r="B14" s="2">
        <v>4</v>
      </c>
      <c r="C14" t="s">
        <v>3</v>
      </c>
      <c r="D14">
        <v>2339.19694405771</v>
      </c>
      <c r="E14">
        <v>60.033700000000003</v>
      </c>
      <c r="F14">
        <v>2310.5711291103999</v>
      </c>
      <c r="G14">
        <f>100*(F14-D14)/D14</f>
        <v>-1.223745397754072</v>
      </c>
      <c r="H14">
        <v>34</v>
      </c>
      <c r="I14">
        <v>9.7299999999999998E-2</v>
      </c>
      <c r="J14" t="s">
        <v>13</v>
      </c>
      <c r="K14" t="s">
        <v>19</v>
      </c>
    </row>
    <row r="15" spans="1:11" x14ac:dyDescent="0.25">
      <c r="A15" s="1">
        <v>44484</v>
      </c>
      <c r="B15" s="2">
        <v>4</v>
      </c>
      <c r="C15" t="s">
        <v>4</v>
      </c>
      <c r="D15">
        <v>2318.59818310024</v>
      </c>
      <c r="E15">
        <v>59.7652</v>
      </c>
      <c r="F15">
        <v>2286.3421234647399</v>
      </c>
      <c r="G15">
        <f>100*(F15-D15)/D15</f>
        <v>-1.3911879975843846</v>
      </c>
      <c r="H15">
        <v>34</v>
      </c>
      <c r="I15">
        <v>9.7299999999999998E-2</v>
      </c>
      <c r="J15" t="s">
        <v>13</v>
      </c>
      <c r="K15" t="s">
        <v>19</v>
      </c>
    </row>
    <row r="16" spans="1:11" x14ac:dyDescent="0.25">
      <c r="A16" s="1">
        <v>44484</v>
      </c>
      <c r="B16" s="2">
        <v>4</v>
      </c>
      <c r="C16" t="s">
        <v>5</v>
      </c>
      <c r="D16">
        <v>2315.5535576627199</v>
      </c>
      <c r="E16">
        <v>59.9405</v>
      </c>
      <c r="F16">
        <v>2282.0273913682299</v>
      </c>
      <c r="G16">
        <f>100*(F16-D16)/D16</f>
        <v>-1.4478683157011785</v>
      </c>
      <c r="H16">
        <v>34</v>
      </c>
      <c r="I16">
        <v>9.7299999999999998E-2</v>
      </c>
      <c r="J16" t="s">
        <v>13</v>
      </c>
      <c r="K16" t="s">
        <v>19</v>
      </c>
    </row>
    <row r="17" spans="1:11" x14ac:dyDescent="0.25">
      <c r="A17" s="1">
        <v>44484</v>
      </c>
      <c r="B17" s="2">
        <v>4</v>
      </c>
      <c r="C17" t="s">
        <v>6</v>
      </c>
      <c r="D17">
        <v>2213.74048396745</v>
      </c>
      <c r="E17">
        <v>59.9773</v>
      </c>
      <c r="F17">
        <v>2182.5620908762498</v>
      </c>
      <c r="G17">
        <f>100*(F17-D17)/D17</f>
        <v>-1.4084032576087004</v>
      </c>
      <c r="H17">
        <v>34</v>
      </c>
      <c r="I17">
        <v>9.7299999999999998E-2</v>
      </c>
      <c r="J17" t="s">
        <v>13</v>
      </c>
      <c r="K17" t="s">
        <v>19</v>
      </c>
    </row>
    <row r="18" spans="1:11" x14ac:dyDescent="0.25">
      <c r="A18" s="1">
        <v>45161</v>
      </c>
      <c r="B18" s="2">
        <v>1</v>
      </c>
      <c r="C18" t="s">
        <v>21</v>
      </c>
      <c r="D18">
        <v>2242.4161152537499</v>
      </c>
      <c r="E18">
        <v>60.44</v>
      </c>
      <c r="F18">
        <v>2551.4122813198101</v>
      </c>
      <c r="G18">
        <f t="shared" ref="G18:G21" si="0">100*(F18-D18)/D18</f>
        <v>13.779608698142734</v>
      </c>
      <c r="H18">
        <v>34</v>
      </c>
      <c r="I18">
        <v>0.1123</v>
      </c>
      <c r="J18" t="s">
        <v>24</v>
      </c>
      <c r="K18" t="s">
        <v>25</v>
      </c>
    </row>
    <row r="19" spans="1:11" x14ac:dyDescent="0.25">
      <c r="A19" s="1">
        <v>45161</v>
      </c>
      <c r="B19" s="2">
        <v>1</v>
      </c>
      <c r="C19" t="s">
        <v>22</v>
      </c>
      <c r="D19">
        <v>2247.31270161779</v>
      </c>
      <c r="E19">
        <v>60.170699999999997</v>
      </c>
      <c r="F19">
        <v>2549.89732195636</v>
      </c>
      <c r="G19">
        <f t="shared" si="0"/>
        <v>13.464286484063658</v>
      </c>
      <c r="H19">
        <v>34</v>
      </c>
      <c r="I19">
        <v>0.1123</v>
      </c>
      <c r="J19" t="s">
        <v>24</v>
      </c>
      <c r="K19" t="s">
        <v>25</v>
      </c>
    </row>
    <row r="20" spans="1:11" x14ac:dyDescent="0.25">
      <c r="A20" s="1">
        <v>45161</v>
      </c>
      <c r="B20" s="2">
        <v>1</v>
      </c>
      <c r="C20" t="s">
        <v>23</v>
      </c>
      <c r="D20">
        <v>2287.23870509173</v>
      </c>
      <c r="E20">
        <v>60.169699999999999</v>
      </c>
      <c r="F20">
        <v>2594.95168992861</v>
      </c>
      <c r="G20">
        <f t="shared" si="0"/>
        <v>13.453470516735555</v>
      </c>
      <c r="H20">
        <v>34</v>
      </c>
      <c r="I20">
        <v>0.1123</v>
      </c>
      <c r="J20" t="s">
        <v>24</v>
      </c>
      <c r="K20" t="s">
        <v>25</v>
      </c>
    </row>
    <row r="21" spans="1:11" x14ac:dyDescent="0.25">
      <c r="A21" s="1">
        <v>45161</v>
      </c>
      <c r="B21" s="2">
        <v>1</v>
      </c>
      <c r="C21" t="s">
        <v>6</v>
      </c>
      <c r="D21">
        <v>2194.6772531250899</v>
      </c>
      <c r="E21">
        <v>60.173099999999998</v>
      </c>
      <c r="F21">
        <v>2489.0441918543202</v>
      </c>
      <c r="G21">
        <f t="shared" si="0"/>
        <v>13.412766652138451</v>
      </c>
      <c r="H21">
        <v>34</v>
      </c>
      <c r="I21">
        <v>0.1123</v>
      </c>
      <c r="J21" t="s">
        <v>24</v>
      </c>
      <c r="K21" t="s">
        <v>25</v>
      </c>
    </row>
    <row r="22" spans="1:11" x14ac:dyDescent="0.25">
      <c r="A22" s="1">
        <v>45161</v>
      </c>
      <c r="B22" s="2">
        <v>2</v>
      </c>
      <c r="C22" t="s">
        <v>21</v>
      </c>
      <c r="D22">
        <v>2242.4161152537499</v>
      </c>
      <c r="E22">
        <v>60.44</v>
      </c>
      <c r="F22">
        <v>2285.5715963590401</v>
      </c>
      <c r="G22">
        <f t="shared" ref="G22:G45" si="1">100*(F22-D22)/D22</f>
        <v>1.9245081593790958</v>
      </c>
      <c r="H22">
        <v>34</v>
      </c>
      <c r="I22">
        <v>0.10058400000000001</v>
      </c>
      <c r="J22" t="s">
        <v>24</v>
      </c>
      <c r="K22" t="s">
        <v>26</v>
      </c>
    </row>
    <row r="23" spans="1:11" x14ac:dyDescent="0.25">
      <c r="A23" s="1">
        <v>45161</v>
      </c>
      <c r="B23" s="2">
        <v>2</v>
      </c>
      <c r="C23" t="s">
        <v>22</v>
      </c>
      <c r="D23">
        <v>2247.31270161779</v>
      </c>
      <c r="E23">
        <v>60.170699999999997</v>
      </c>
      <c r="F23">
        <v>2284.22025022356</v>
      </c>
      <c r="G23">
        <f t="shared" si="1"/>
        <v>1.6422969789295931</v>
      </c>
      <c r="H23">
        <v>34</v>
      </c>
      <c r="I23">
        <v>0.10058400000000001</v>
      </c>
      <c r="J23" t="s">
        <v>24</v>
      </c>
      <c r="K23" t="s">
        <v>26</v>
      </c>
    </row>
    <row r="24" spans="1:11" x14ac:dyDescent="0.25">
      <c r="A24" s="1">
        <v>45161</v>
      </c>
      <c r="B24" s="2">
        <v>2</v>
      </c>
      <c r="C24" t="s">
        <v>23</v>
      </c>
      <c r="D24">
        <v>2287.23870509173</v>
      </c>
      <c r="E24">
        <v>60.169699999999999</v>
      </c>
      <c r="F24">
        <v>2324.5729031830901</v>
      </c>
      <c r="G24">
        <f t="shared" si="1"/>
        <v>1.632282542624375</v>
      </c>
      <c r="H24">
        <v>34</v>
      </c>
      <c r="I24">
        <v>0.10058400000000001</v>
      </c>
      <c r="J24" t="s">
        <v>24</v>
      </c>
      <c r="K24" t="s">
        <v>26</v>
      </c>
    </row>
    <row r="25" spans="1:11" x14ac:dyDescent="0.25">
      <c r="A25" s="1">
        <v>45161</v>
      </c>
      <c r="B25" s="2">
        <v>2</v>
      </c>
      <c r="C25" t="s">
        <v>6</v>
      </c>
      <c r="D25">
        <v>2194.6772531250899</v>
      </c>
      <c r="E25">
        <v>60.173099999999998</v>
      </c>
      <c r="F25">
        <v>2229.7212423942501</v>
      </c>
      <c r="G25">
        <f t="shared" si="1"/>
        <v>1.5967718815720915</v>
      </c>
      <c r="H25">
        <v>34</v>
      </c>
      <c r="I25">
        <v>0.10058400000000001</v>
      </c>
      <c r="J25" t="s">
        <v>24</v>
      </c>
      <c r="K25" t="s">
        <v>26</v>
      </c>
    </row>
    <row r="26" spans="1:11" x14ac:dyDescent="0.25">
      <c r="A26" s="1">
        <v>43788</v>
      </c>
      <c r="B26" s="2">
        <v>1</v>
      </c>
      <c r="C26" t="s">
        <v>27</v>
      </c>
      <c r="D26">
        <v>2241.0581908347099</v>
      </c>
      <c r="E26">
        <v>59.9437</v>
      </c>
      <c r="F26">
        <v>2249.7887122549701</v>
      </c>
      <c r="G26">
        <f t="shared" si="1"/>
        <v>0.38957138444532685</v>
      </c>
      <c r="H26">
        <v>34</v>
      </c>
      <c r="I26">
        <v>0.10058400000000001</v>
      </c>
      <c r="J26" t="s">
        <v>24</v>
      </c>
      <c r="K26" t="s">
        <v>26</v>
      </c>
    </row>
    <row r="27" spans="1:11" x14ac:dyDescent="0.25">
      <c r="A27" s="1">
        <v>43788</v>
      </c>
      <c r="B27" s="2">
        <v>1</v>
      </c>
      <c r="C27" t="s">
        <v>28</v>
      </c>
      <c r="D27">
        <v>2230.6796528647101</v>
      </c>
      <c r="E27">
        <v>60.187199999999997</v>
      </c>
      <c r="F27">
        <v>2238.3137043113002</v>
      </c>
      <c r="G27">
        <f t="shared" si="1"/>
        <v>0.34222984177876908</v>
      </c>
      <c r="H27">
        <v>34</v>
      </c>
      <c r="I27">
        <v>0.10058400000000001</v>
      </c>
      <c r="J27" t="s">
        <v>24</v>
      </c>
      <c r="K27" t="s">
        <v>26</v>
      </c>
    </row>
    <row r="28" spans="1:11" x14ac:dyDescent="0.25">
      <c r="A28" s="1">
        <v>43788</v>
      </c>
      <c r="B28" s="2">
        <v>1</v>
      </c>
      <c r="C28" t="s">
        <v>29</v>
      </c>
      <c r="D28">
        <v>2236.0869328518402</v>
      </c>
      <c r="E28">
        <v>60.207799999999999</v>
      </c>
      <c r="F28">
        <v>2243.5939928831199</v>
      </c>
      <c r="G28">
        <f t="shared" si="1"/>
        <v>0.33572308486707275</v>
      </c>
      <c r="H28">
        <v>34</v>
      </c>
      <c r="I28">
        <v>0.10058400000000001</v>
      </c>
      <c r="J28" t="s">
        <v>24</v>
      </c>
      <c r="K28" t="s">
        <v>26</v>
      </c>
    </row>
    <row r="29" spans="1:11" x14ac:dyDescent="0.25">
      <c r="A29" s="1">
        <v>43788</v>
      </c>
      <c r="B29" s="2">
        <v>1</v>
      </c>
      <c r="C29" t="s">
        <v>6</v>
      </c>
      <c r="D29">
        <v>2208.5000007860199</v>
      </c>
      <c r="E29">
        <v>59.859299999999998</v>
      </c>
      <c r="F29">
        <v>2217.3090053114902</v>
      </c>
      <c r="G29">
        <f t="shared" si="1"/>
        <v>0.39886821473104445</v>
      </c>
      <c r="H29">
        <v>34</v>
      </c>
      <c r="I29">
        <v>0.10058400000000001</v>
      </c>
      <c r="J29" t="s">
        <v>24</v>
      </c>
      <c r="K29" t="s">
        <v>26</v>
      </c>
    </row>
    <row r="30" spans="1:11" x14ac:dyDescent="0.25">
      <c r="A30" s="1">
        <v>43788</v>
      </c>
      <c r="B30" s="2">
        <v>2</v>
      </c>
      <c r="C30" t="s">
        <v>27</v>
      </c>
      <c r="D30">
        <v>2241.0581908347099</v>
      </c>
      <c r="E30">
        <v>59.9437</v>
      </c>
      <c r="F30">
        <v>2236.8447117583901</v>
      </c>
      <c r="G30">
        <f t="shared" si="1"/>
        <v>-0.18801292592721286</v>
      </c>
      <c r="H30">
        <v>34</v>
      </c>
      <c r="I30">
        <v>0.10001</v>
      </c>
      <c r="J30" t="s">
        <v>30</v>
      </c>
      <c r="K30" t="s">
        <v>31</v>
      </c>
    </row>
    <row r="31" spans="1:11" x14ac:dyDescent="0.25">
      <c r="A31" s="1">
        <v>43788</v>
      </c>
      <c r="B31" s="2">
        <v>2</v>
      </c>
      <c r="C31" t="s">
        <v>28</v>
      </c>
      <c r="D31">
        <v>2230.6796528647101</v>
      </c>
      <c r="E31">
        <v>60.187199999999997</v>
      </c>
      <c r="F31">
        <v>2225.4356372223201</v>
      </c>
      <c r="G31">
        <f t="shared" si="1"/>
        <v>-0.23508600330197282</v>
      </c>
      <c r="H31">
        <v>34</v>
      </c>
      <c r="I31">
        <v>0.10001</v>
      </c>
      <c r="J31" t="s">
        <v>30</v>
      </c>
      <c r="K31" t="s">
        <v>31</v>
      </c>
    </row>
    <row r="32" spans="1:11" x14ac:dyDescent="0.25">
      <c r="A32" s="1">
        <v>43788</v>
      </c>
      <c r="B32" s="2">
        <v>2</v>
      </c>
      <c r="C32" t="s">
        <v>29</v>
      </c>
      <c r="D32">
        <v>2236.0869328518402</v>
      </c>
      <c r="E32">
        <v>60.207799999999999</v>
      </c>
      <c r="F32">
        <v>2230.68529179904</v>
      </c>
      <c r="G32">
        <f t="shared" si="1"/>
        <v>-0.24156668389949809</v>
      </c>
      <c r="H32">
        <v>34</v>
      </c>
      <c r="I32">
        <v>0.10001</v>
      </c>
      <c r="J32" t="s">
        <v>30</v>
      </c>
      <c r="K32" t="s">
        <v>31</v>
      </c>
    </row>
    <row r="33" spans="1:11" x14ac:dyDescent="0.25">
      <c r="A33" s="1">
        <v>43788</v>
      </c>
      <c r="B33" s="2">
        <v>2</v>
      </c>
      <c r="C33" t="s">
        <v>6</v>
      </c>
      <c r="D33">
        <v>2208.5000007860199</v>
      </c>
      <c r="E33">
        <v>59.859299999999998</v>
      </c>
      <c r="F33">
        <v>2204.5514098830599</v>
      </c>
      <c r="G33">
        <f t="shared" si="1"/>
        <v>-0.17879062266491375</v>
      </c>
      <c r="H33">
        <v>34</v>
      </c>
      <c r="I33">
        <v>0.10001</v>
      </c>
      <c r="J33" t="s">
        <v>30</v>
      </c>
      <c r="K33" t="s">
        <v>31</v>
      </c>
    </row>
    <row r="34" spans="1:11" x14ac:dyDescent="0.25">
      <c r="A34" s="1">
        <v>43788</v>
      </c>
      <c r="B34" s="2">
        <v>3</v>
      </c>
      <c r="C34" t="s">
        <v>27</v>
      </c>
      <c r="D34">
        <v>2241.0581908347099</v>
      </c>
      <c r="E34">
        <v>59.9437</v>
      </c>
      <c r="F34">
        <v>2236.6212889451499</v>
      </c>
      <c r="G34">
        <f t="shared" si="1"/>
        <v>-0.19798244899242878</v>
      </c>
      <c r="H34">
        <v>34</v>
      </c>
      <c r="I34">
        <v>0.1</v>
      </c>
      <c r="J34" t="s">
        <v>30</v>
      </c>
      <c r="K34" t="s">
        <v>32</v>
      </c>
    </row>
    <row r="35" spans="1:11" x14ac:dyDescent="0.25">
      <c r="A35" s="1">
        <v>43788</v>
      </c>
      <c r="B35" s="2">
        <v>3</v>
      </c>
      <c r="C35" t="s">
        <v>28</v>
      </c>
      <c r="D35">
        <v>2230.6796528647101</v>
      </c>
      <c r="E35">
        <v>60.187199999999997</v>
      </c>
      <c r="F35">
        <v>2225.2133524237302</v>
      </c>
      <c r="G35">
        <f t="shared" si="1"/>
        <v>-0.24505089441955163</v>
      </c>
      <c r="H35">
        <v>34</v>
      </c>
      <c r="I35">
        <v>0.1</v>
      </c>
      <c r="J35" t="s">
        <v>30</v>
      </c>
      <c r="K35" t="s">
        <v>32</v>
      </c>
    </row>
    <row r="36" spans="1:11" x14ac:dyDescent="0.25">
      <c r="A36" s="1">
        <v>43788</v>
      </c>
      <c r="B36" s="2">
        <v>3</v>
      </c>
      <c r="C36" t="s">
        <v>29</v>
      </c>
      <c r="D36">
        <v>2236.0869328518402</v>
      </c>
      <c r="E36">
        <v>60.207799999999999</v>
      </c>
      <c r="F36">
        <v>2230.4624788638598</v>
      </c>
      <c r="G36">
        <f t="shared" si="1"/>
        <v>-0.25153109681684399</v>
      </c>
      <c r="H36">
        <v>34</v>
      </c>
      <c r="I36">
        <v>0.1</v>
      </c>
      <c r="J36" t="s">
        <v>30</v>
      </c>
      <c r="K36" t="s">
        <v>32</v>
      </c>
    </row>
    <row r="37" spans="1:11" x14ac:dyDescent="0.25">
      <c r="A37" s="1">
        <v>43788</v>
      </c>
      <c r="B37" s="2">
        <v>3</v>
      </c>
      <c r="C37" t="s">
        <v>6</v>
      </c>
      <c r="D37">
        <v>2208.5000007860199</v>
      </c>
      <c r="E37">
        <v>59.859299999999998</v>
      </c>
      <c r="F37">
        <v>2204.3312142886298</v>
      </c>
      <c r="G37">
        <f t="shared" si="1"/>
        <v>-0.18876099143791725</v>
      </c>
      <c r="H37">
        <v>34</v>
      </c>
      <c r="I37">
        <v>0.1</v>
      </c>
      <c r="J37" t="s">
        <v>30</v>
      </c>
      <c r="K37" t="s">
        <v>32</v>
      </c>
    </row>
    <row r="38" spans="1:11" x14ac:dyDescent="0.25">
      <c r="A38" s="1">
        <v>43788</v>
      </c>
      <c r="B38" s="2">
        <v>4</v>
      </c>
      <c r="C38" t="s">
        <v>27</v>
      </c>
      <c r="D38">
        <v>2241.0581908347099</v>
      </c>
      <c r="E38">
        <v>59.9437</v>
      </c>
      <c r="F38">
        <v>2460.0304796436399</v>
      </c>
      <c r="G38">
        <f t="shared" si="1"/>
        <v>9.7709327541990803</v>
      </c>
      <c r="H38">
        <v>34</v>
      </c>
      <c r="I38">
        <v>0.11</v>
      </c>
      <c r="J38" t="s">
        <v>30</v>
      </c>
      <c r="K38" t="s">
        <v>32</v>
      </c>
    </row>
    <row r="39" spans="1:11" x14ac:dyDescent="0.25">
      <c r="A39" s="1">
        <v>43788</v>
      </c>
      <c r="B39" s="2">
        <v>4</v>
      </c>
      <c r="C39" t="s">
        <v>28</v>
      </c>
      <c r="D39">
        <v>2230.6796528647101</v>
      </c>
      <c r="E39">
        <v>60.187199999999997</v>
      </c>
      <c r="F39">
        <v>2447.4846213876999</v>
      </c>
      <c r="G39">
        <f t="shared" si="1"/>
        <v>9.7192336983287575</v>
      </c>
      <c r="H39">
        <v>34</v>
      </c>
      <c r="I39">
        <v>0.11</v>
      </c>
      <c r="J39" t="s">
        <v>30</v>
      </c>
      <c r="K39" t="s">
        <v>32</v>
      </c>
    </row>
    <row r="40" spans="1:11" x14ac:dyDescent="0.25">
      <c r="A40" s="1">
        <v>43788</v>
      </c>
      <c r="B40" s="2">
        <v>4</v>
      </c>
      <c r="C40" t="s">
        <v>29</v>
      </c>
      <c r="D40">
        <v>2236.0869328518402</v>
      </c>
      <c r="E40">
        <v>60.207799999999999</v>
      </c>
      <c r="F40">
        <v>2453.2619497630599</v>
      </c>
      <c r="G40">
        <f t="shared" si="1"/>
        <v>9.7122796846829669</v>
      </c>
      <c r="H40">
        <v>34</v>
      </c>
      <c r="I40">
        <v>0.11</v>
      </c>
      <c r="J40" t="s">
        <v>30</v>
      </c>
      <c r="K40" t="s">
        <v>32</v>
      </c>
    </row>
    <row r="41" spans="1:11" x14ac:dyDescent="0.25">
      <c r="A41" s="1">
        <v>43788</v>
      </c>
      <c r="B41" s="2">
        <v>4</v>
      </c>
      <c r="C41" t="s">
        <v>6</v>
      </c>
      <c r="D41">
        <v>2208.5000007860199</v>
      </c>
      <c r="E41">
        <v>59.859299999999998</v>
      </c>
      <c r="F41">
        <v>2424.5131379284799</v>
      </c>
      <c r="G41">
        <f t="shared" si="1"/>
        <v>9.7809887736282288</v>
      </c>
      <c r="H41">
        <v>34</v>
      </c>
      <c r="I41">
        <v>0.11</v>
      </c>
      <c r="J41" t="s">
        <v>30</v>
      </c>
      <c r="K41" t="s">
        <v>32</v>
      </c>
    </row>
    <row r="42" spans="1:11" x14ac:dyDescent="0.25">
      <c r="A42" s="1">
        <v>43788</v>
      </c>
      <c r="B42" s="2">
        <v>5</v>
      </c>
      <c r="C42" t="s">
        <v>27</v>
      </c>
      <c r="D42">
        <v>2241.0581908347099</v>
      </c>
      <c r="E42">
        <v>59.9437</v>
      </c>
      <c r="F42">
        <v>2013.18356474697</v>
      </c>
      <c r="G42">
        <f t="shared" si="1"/>
        <v>-10.16817086765896</v>
      </c>
      <c r="H42">
        <v>34</v>
      </c>
      <c r="I42">
        <v>0.09</v>
      </c>
      <c r="J42" t="s">
        <v>30</v>
      </c>
      <c r="K42" t="s">
        <v>32</v>
      </c>
    </row>
    <row r="43" spans="1:11" x14ac:dyDescent="0.25">
      <c r="A43" s="1">
        <v>43788</v>
      </c>
      <c r="B43" s="2">
        <v>5</v>
      </c>
      <c r="C43" t="s">
        <v>28</v>
      </c>
      <c r="D43">
        <v>2230.6796528647101</v>
      </c>
      <c r="E43">
        <v>60.187199999999997</v>
      </c>
      <c r="F43">
        <v>2002.9137559354699</v>
      </c>
      <c r="G43">
        <f t="shared" si="1"/>
        <v>-10.210605392698856</v>
      </c>
      <c r="H43">
        <v>34</v>
      </c>
      <c r="I43">
        <v>0.09</v>
      </c>
      <c r="J43" t="s">
        <v>30</v>
      </c>
      <c r="K43" t="s">
        <v>32</v>
      </c>
    </row>
    <row r="44" spans="1:11" x14ac:dyDescent="0.25">
      <c r="A44" s="1">
        <v>43788</v>
      </c>
      <c r="B44" s="2">
        <v>5</v>
      </c>
      <c r="C44" t="s">
        <v>29</v>
      </c>
      <c r="D44">
        <v>2236.0869328518402</v>
      </c>
      <c r="E44">
        <v>60.207799999999999</v>
      </c>
      <c r="F44">
        <v>2007.6348825577199</v>
      </c>
      <c r="G44">
        <f t="shared" si="1"/>
        <v>-10.21659967409045</v>
      </c>
      <c r="H44">
        <v>34</v>
      </c>
      <c r="I44">
        <v>0.09</v>
      </c>
      <c r="J44" t="s">
        <v>30</v>
      </c>
      <c r="K44" t="s">
        <v>32</v>
      </c>
    </row>
    <row r="45" spans="1:11" x14ac:dyDescent="0.25">
      <c r="A45" s="1">
        <v>43788</v>
      </c>
      <c r="B45" s="2">
        <v>5</v>
      </c>
      <c r="C45" t="s">
        <v>6</v>
      </c>
      <c r="D45">
        <v>2208.5000007860199</v>
      </c>
      <c r="E45">
        <v>59.859299999999998</v>
      </c>
      <c r="F45">
        <v>1984.12070895796</v>
      </c>
      <c r="G45">
        <f t="shared" si="1"/>
        <v>-10.159804924075244</v>
      </c>
      <c r="H45">
        <v>34</v>
      </c>
      <c r="I45">
        <v>0.09</v>
      </c>
      <c r="J45" t="s">
        <v>30</v>
      </c>
      <c r="K4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Nyssa Silbiger</dc:creator>
  <cp:lastModifiedBy>Nyssa Silbiger</cp:lastModifiedBy>
  <dcterms:created xsi:type="dcterms:W3CDTF">2026-10-26T22:23:35Z</dcterms:created>
  <dcterms:modified xsi:type="dcterms:W3CDTF">2026-10-27T02:16:23Z</dcterms:modified>
</cp:coreProperties>
</file>